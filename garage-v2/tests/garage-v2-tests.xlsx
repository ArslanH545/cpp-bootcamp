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rage v2 Te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<sst xmlns="http://schemas.openxmlformats.org/spreadsheetml/2006/main" count="147" uniqueCount="104">
  <si>
    <t xml:space="preserve">#</t>
  </si>
  <si>
    <t xml:space="preserve">Menu case</t>
  </si>
  <si>
    <t xml:space="preserve">Input (keystrokes, in order)</t>
  </si>
  <si>
    <t xml:space="preserve">Expected output</t>
  </si>
  <si>
    <t xml:space="preserve">Actual output</t>
  </si>
  <si>
    <t xml:space="preserve">Pass?</t>
  </si>
  <si>
    <t xml:space="preserve">Notes</t>
  </si>
  <si>
    <t xml:space="preserve">8 Load</t>
  </si>
  <si>
    <t xml:space="preserve">8</t>
  </si>
  <si>
    <t xml:space="preserve">File not found</t>
  </si>
  <si>
    <t xml:space="preserve">garage.txt not Found!</t>
  </si>
  <si>
    <t xml:space="preserve">Y</t>
  </si>
  <si>
    <t xml:space="preserve">Fresh start, garage.txt deleted first</t>
  </si>
  <si>
    <t xml:space="preserve">4 List</t>
  </si>
  <si>
    <t xml:space="preserve">4</t>
  </si>
  <si>
    <t xml:space="preserve">Empty listing</t>
  </si>
  <si>
    <t xml:space="preserve">(nothing)</t>
  </si>
  <si>
    <t xml:space="preserve">6 Remaining</t>
  </si>
  <si>
    <t xml:space="preserve">6</t>
  </si>
  <si>
    <t xml:space="preserve">10</t>
  </si>
  <si>
    <t xml:space="preserve">Capacity 10</t>
  </si>
  <si>
    <t xml:space="preserve">1 Park car</t>
  </si>
  <si>
    <t xml:space="preserve">1 car ZZZ1 Ford Focus 2017 4</t>
  </si>
  <si>
    <t xml:space="preserve">Parked</t>
  </si>
  <si>
    <t xml:space="preserve">1 Park truck</t>
  </si>
  <si>
    <t xml:space="preserve">1 truck TTT8 Volvo FH 2010 3.5</t>
  </si>
  <si>
    <t xml:space="preserve">stod payload</t>
  </si>
  <si>
    <t xml:space="preserve">1 Park motorcycle</t>
  </si>
  <si>
    <t xml:space="preserve">1 motorcycle AAA9 Honda CBR 2018 0</t>
  </si>
  <si>
    <t xml:space="preserve">sidecar=0</t>
  </si>
  <si>
    <t xml:space="preserve">1 Park duplicate</t>
  </si>
  <si>
    <t xml:space="preserve">1 car ZZZ1 x x 2017 4</t>
  </si>
  <si>
    <t xml:space="preserve">Could not park</t>
  </si>
  <si>
    <t xml:space="preserve">Could not park (duplicate plate or not enough space)</t>
  </si>
  <si>
    <t xml:space="preserve">indexOf() duplicate check</t>
  </si>
  <si>
    <t xml:space="preserve">1 Park bad input</t>
  </si>
  <si>
    <t xml:space="preserve">1 bike -&gt; car BBB2 x x abc -&gt; 2017 4</t>
  </si>
  <si>
    <t xml:space="preserve">Re-prompt on 'bike', re-prompt on 'abc', then Parked</t>
  </si>
  <si>
    <t xml:space="preserve">Invalid Vehicle Type / Invalid number, try again. / Parked</t>
  </si>
  <si>
    <t xml:space="preserve">cin.clear + ignore</t>
  </si>
  <si>
    <t xml:space="preserve">10 - (car+truck+moto+car units)</t>
  </si>
  <si>
    <t xml:space="preserve">1</t>
  </si>
  <si>
    <t xml:space="preserve">4 vehicles = 9 units</t>
  </si>
  <si>
    <t xml:space="preserve">4 List (insertion order)</t>
  </si>
  <si>
    <t xml:space="preserve">ZZZ1, TTT8, AAA9, BBB2</t>
  </si>
  <si>
    <t xml:space="preserve">5 Sort + 4 List</t>
  </si>
  <si>
    <t xml:space="preserve">5 4</t>
  </si>
  <si>
    <t xml:space="preserve">AAA9, BBB2, TTT8, ZZZ1</t>
  </si>
  <si>
    <t xml:space="preserve">insertionSort&lt;Vehicle*, lambda&gt;</t>
  </si>
  <si>
    <t xml:space="preserve">3 Find</t>
  </si>
  <si>
    <t xml:space="preserve">3 TTT8</t>
  </si>
  <si>
    <t xml:space="preserve">Volvo printed</t>
  </si>
  <si>
    <t xml:space="preserve">Volvo FH printed</t>
  </si>
  <si>
    <t xml:space="preserve">const Vehicle* non-null</t>
  </si>
  <si>
    <t xml:space="preserve">3 Find missing</t>
  </si>
  <si>
    <t xml:space="preserve">3 NOPE</t>
  </si>
  <si>
    <t xml:space="preserve">Not found</t>
  </si>
  <si>
    <t xml:space="preserve">nullptr path</t>
  </si>
  <si>
    <t xml:space="preserve">7 Save</t>
  </si>
  <si>
    <t xml:space="preserve">7</t>
  </si>
  <si>
    <t xml:space="preserve">Saved to garage.txt</t>
  </si>
  <si>
    <t xml:space="preserve">4 lines written, sorted order</t>
  </si>
  <si>
    <t xml:space="preserve">2 Remove</t>
  </si>
  <si>
    <t xml:space="preserve">2 BBB2</t>
  </si>
  <si>
    <t xml:space="preserve">Removed</t>
  </si>
  <si>
    <t xml:space="preserve">Successfully vehicle remove from the Garage!</t>
  </si>
  <si>
    <t xml:space="preserve">delete then erase</t>
  </si>
  <si>
    <t xml:space="preserve">2 Remove missing</t>
  </si>
  <si>
    <t xml:space="preserve">Not found!</t>
  </si>
  <si>
    <t xml:space="preserve">8 Load (merge)</t>
  </si>
  <si>
    <t xml:space="preserve">8 r</t>
  </si>
  <si>
    <t xml:space="preserve">Loaded 1, rejected 3 duplicates</t>
  </si>
  <si>
    <t xml:space="preserve">Successfully Load: 1 / AAA9, TTT8, ZZZ1 rejected</t>
  </si>
  <si>
    <t xml:space="preserve">Merge semantics; park() rejects duplicates</t>
  </si>
  <si>
    <t xml:space="preserve">All 4 vehicles back</t>
  </si>
  <si>
    <t xml:space="preserve">AAA9, TTT8, ZZZ1, BBB2</t>
  </si>
  <si>
    <t xml:space="preserve">BBB2 appended at end</t>
  </si>
  <si>
    <t xml:space="preserve">Bad menu input</t>
  </si>
  <si>
    <t xml:space="preserve">abc</t>
  </si>
  <si>
    <t xml:space="preserve">Invalid number, try again.</t>
  </si>
  <si>
    <t xml:space="preserve">Unknown option</t>
  </si>
  <si>
    <t xml:space="preserve">99</t>
  </si>
  <si>
    <t xml:space="preserve">default case</t>
  </si>
  <si>
    <t xml:space="preserve">0 Quit</t>
  </si>
  <si>
    <t xml:space="preserve">0</t>
  </si>
  <si>
    <t xml:space="preserve">Bye! and nothing after</t>
  </si>
  <si>
    <t xml:space="preserve">Bye!</t>
  </si>
  <si>
    <t xml:space="preserve">ASan/UBSan silent = no leaks</t>
  </si>
  <si>
    <t xml:space="preserve">8 Load bad lines</t>
  </si>
  <si>
    <t xml:space="preserve">8 r (garage.txt with abcd year, BIKE tag, duplicate)</t>
  </si>
  <si>
    <t xml:space="preserve">Loaded 2, rejected 3</t>
  </si>
  <si>
    <t xml:space="preserve">Successfully Load: 2 / 3 lines rejected</t>
  </si>
  <si>
    <t xml:space="preserve">Earlier run: stoi throw caught, unknown tag, duplicate</t>
  </si>
  <si>
    <t xml:space="preserve">1 Park when full</t>
  </si>
  <si>
    <t xml:space="preserve">1 (after filling to 0 remaining)</t>
  </si>
  <si>
    <t xml:space="preserve">Garage is Full</t>
  </si>
  <si>
    <t xml:space="preserve">Not yet run</t>
  </si>
  <si>
    <t xml:space="preserve">1 Park too big for remaining</t>
  </si>
  <si>
    <t xml:space="preserve">1 truck ... (remaining &lt; truck units)</t>
  </si>
  <si>
    <t xml:space="preserve">Total cases</t>
  </si>
  <si>
    <t xml:space="preserve">Passed</t>
  </si>
  <si>
    <t xml:space="preserve">Failed</t>
  </si>
  <si>
    <t xml:space="preserve">Not run</t>
  </si>
  <si>
    <t xml:space="preserve">Legend: fill column E (Actual) and F (Y/N) for rows 23-24 once run. Build: ./build.sh (g++ -std=c++17 -Wall -Wextra -Werror -g -fsanitize=address,undefined). Results from manual run 2026-10-25.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</si>
</sst>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Courier New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6" min="6" style="0" width="7"/>
    <col collapsed="false" customWidth="true" hidden="false" outlineLevel="0" max="7" min="7" style="0" width="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2" t="s">
        <v>12</v>
      </c>
    </row>
    <row r="3" customFormat="false" ht="15" hidden="false" customHeight="false" outlineLevel="0" collapsed="false">
      <c r="A3" s="2" t="n">
        <v>2</v>
      </c>
      <c r="B3" s="2" t="s">
        <v>13</v>
      </c>
      <c r="C3" s="3" t="s">
        <v>14</v>
      </c>
      <c r="D3" s="3" t="s">
        <v>15</v>
      </c>
      <c r="E3" s="3" t="s">
        <v>16</v>
      </c>
      <c r="F3" s="4" t="s">
        <v>11</v>
      </c>
      <c r="G3" s="2"/>
    </row>
    <row r="4" customFormat="false" ht="15" hidden="false" customHeight="false" outlineLevel="0" collapsed="false">
      <c r="A4" s="2" t="n">
        <v>3</v>
      </c>
      <c r="B4" s="2" t="s">
        <v>17</v>
      </c>
      <c r="C4" s="3" t="s">
        <v>18</v>
      </c>
      <c r="D4" s="3" t="s">
        <v>19</v>
      </c>
      <c r="E4" s="3" t="s">
        <v>19</v>
      </c>
      <c r="F4" s="4" t="s">
        <v>11</v>
      </c>
      <c r="G4" s="2" t="s">
        <v>20</v>
      </c>
    </row>
    <row r="5" customFormat="false" ht="15" hidden="false" customHeight="false" outlineLevel="0" collapsed="false">
      <c r="A5" s="2" t="n">
        <v>4</v>
      </c>
      <c r="B5" s="2" t="s">
        <v>21</v>
      </c>
      <c r="C5" s="3" t="s">
        <v>22</v>
      </c>
      <c r="D5" s="3" t="s">
        <v>23</v>
      </c>
      <c r="E5" s="3" t="s">
        <v>23</v>
      </c>
      <c r="F5" s="4" t="s">
        <v>11</v>
      </c>
      <c r="G5" s="2"/>
    </row>
    <row r="6" customFormat="false" ht="15" hidden="false" customHeight="false" outlineLevel="0" collapsed="false">
      <c r="A6" s="2" t="n">
        <v>5</v>
      </c>
      <c r="B6" s="2" t="s">
        <v>24</v>
      </c>
      <c r="C6" s="3" t="s">
        <v>25</v>
      </c>
      <c r="D6" s="3" t="s">
        <v>23</v>
      </c>
      <c r="E6" s="3" t="s">
        <v>23</v>
      </c>
      <c r="F6" s="4" t="s">
        <v>11</v>
      </c>
      <c r="G6" s="2" t="s">
        <v>26</v>
      </c>
    </row>
    <row r="7" customFormat="false" ht="26.85" hidden="false" customHeight="false" outlineLevel="0" collapsed="false">
      <c r="A7" s="2" t="n">
        <v>6</v>
      </c>
      <c r="B7" s="2" t="s">
        <v>27</v>
      </c>
      <c r="C7" s="3" t="s">
        <v>28</v>
      </c>
      <c r="D7" s="3" t="s">
        <v>23</v>
      </c>
      <c r="E7" s="3" t="s">
        <v>23</v>
      </c>
      <c r="F7" s="4" t="s">
        <v>11</v>
      </c>
      <c r="G7" s="2" t="s">
        <v>29</v>
      </c>
    </row>
    <row r="8" customFormat="false" ht="26.85" hidden="false" customHeight="false" outlineLevel="0" collapsed="false">
      <c r="A8" s="2" t="n">
        <v>7</v>
      </c>
      <c r="B8" s="2" t="s">
        <v>30</v>
      </c>
      <c r="C8" s="3" t="s">
        <v>31</v>
      </c>
      <c r="D8" s="3" t="s">
        <v>32</v>
      </c>
      <c r="E8" s="3" t="s">
        <v>33</v>
      </c>
      <c r="F8" s="4" t="s">
        <v>11</v>
      </c>
      <c r="G8" s="2" t="s">
        <v>34</v>
      </c>
    </row>
    <row r="9" customFormat="false" ht="39.55" hidden="false" customHeight="false" outlineLevel="0" collapsed="false">
      <c r="A9" s="2" t="n">
        <v>8</v>
      </c>
      <c r="B9" s="2" t="s">
        <v>35</v>
      </c>
      <c r="C9" s="3" t="s">
        <v>36</v>
      </c>
      <c r="D9" s="3" t="s">
        <v>37</v>
      </c>
      <c r="E9" s="3" t="s">
        <v>38</v>
      </c>
      <c r="F9" s="4" t="s">
        <v>11</v>
      </c>
      <c r="G9" s="2" t="s">
        <v>39</v>
      </c>
    </row>
    <row r="10" customFormat="false" ht="26.85" hidden="false" customHeight="false" outlineLevel="0" collapsed="false">
      <c r="A10" s="2" t="n">
        <v>9</v>
      </c>
      <c r="B10" s="2" t="s">
        <v>17</v>
      </c>
      <c r="C10" s="3" t="s">
        <v>18</v>
      </c>
      <c r="D10" s="3" t="s">
        <v>40</v>
      </c>
      <c r="E10" s="3" t="s">
        <v>41</v>
      </c>
      <c r="F10" s="4" t="s">
        <v>11</v>
      </c>
      <c r="G10" s="2" t="s">
        <v>42</v>
      </c>
    </row>
    <row r="11" customFormat="false" ht="15" hidden="false" customHeight="false" outlineLevel="0" collapsed="false">
      <c r="A11" s="2" t="n">
        <v>10</v>
      </c>
      <c r="B11" s="2" t="s">
        <v>43</v>
      </c>
      <c r="C11" s="3" t="s">
        <v>14</v>
      </c>
      <c r="D11" s="3" t="s">
        <v>44</v>
      </c>
      <c r="E11" s="3" t="s">
        <v>44</v>
      </c>
      <c r="F11" s="4" t="s">
        <v>11</v>
      </c>
      <c r="G11" s="2"/>
    </row>
    <row r="12" customFormat="false" ht="15" hidden="false" customHeight="false" outlineLevel="0" collapsed="false">
      <c r="A12" s="2" t="n">
        <v>11</v>
      </c>
      <c r="B12" s="2" t="s">
        <v>45</v>
      </c>
      <c r="C12" s="3" t="s">
        <v>46</v>
      </c>
      <c r="D12" s="3" t="s">
        <v>47</v>
      </c>
      <c r="E12" s="3" t="s">
        <v>47</v>
      </c>
      <c r="F12" s="4" t="s">
        <v>11</v>
      </c>
      <c r="G12" s="2" t="s">
        <v>48</v>
      </c>
    </row>
    <row r="13" customFormat="false" ht="15" hidden="false" customHeight="false" outlineLevel="0" collapsed="false">
      <c r="A13" s="2" t="n">
        <v>12</v>
      </c>
      <c r="B13" s="2" t="s">
        <v>49</v>
      </c>
      <c r="C13" s="3" t="s">
        <v>50</v>
      </c>
      <c r="D13" s="3" t="s">
        <v>51</v>
      </c>
      <c r="E13" s="3" t="s">
        <v>52</v>
      </c>
      <c r="F13" s="4" t="s">
        <v>11</v>
      </c>
      <c r="G13" s="2" t="s">
        <v>53</v>
      </c>
    </row>
    <row r="14" customFormat="false" ht="15" hidden="false" customHeight="false" outlineLevel="0" collapsed="false">
      <c r="A14" s="2" t="n">
        <v>13</v>
      </c>
      <c r="B14" s="2" t="s">
        <v>54</v>
      </c>
      <c r="C14" s="3" t="s">
        <v>55</v>
      </c>
      <c r="D14" s="3" t="s">
        <v>56</v>
      </c>
      <c r="E14" s="3" t="s">
        <v>56</v>
      </c>
      <c r="F14" s="4" t="s">
        <v>11</v>
      </c>
      <c r="G14" s="2" t="s">
        <v>57</v>
      </c>
    </row>
    <row r="15" customFormat="false" ht="15" hidden="false" customHeight="false" outlineLevel="0" collapsed="false">
      <c r="A15" s="2" t="n">
        <v>14</v>
      </c>
      <c r="B15" s="2" t="s">
        <v>58</v>
      </c>
      <c r="C15" s="3" t="s">
        <v>59</v>
      </c>
      <c r="D15" s="3" t="s">
        <v>60</v>
      </c>
      <c r="E15" s="3" t="s">
        <v>60</v>
      </c>
      <c r="F15" s="4" t="s">
        <v>11</v>
      </c>
      <c r="G15" s="2" t="s">
        <v>61</v>
      </c>
    </row>
    <row r="16" customFormat="false" ht="26.85" hidden="false" customHeight="false" outlineLevel="0" collapsed="false">
      <c r="A16" s="2" t="n">
        <v>15</v>
      </c>
      <c r="B16" s="2" t="s">
        <v>62</v>
      </c>
      <c r="C16" s="3" t="s">
        <v>63</v>
      </c>
      <c r="D16" s="3" t="s">
        <v>64</v>
      </c>
      <c r="E16" s="3" t="s">
        <v>65</v>
      </c>
      <c r="F16" s="4" t="s">
        <v>11</v>
      </c>
      <c r="G16" s="2" t="s">
        <v>66</v>
      </c>
    </row>
    <row r="17" customFormat="false" ht="15" hidden="false" customHeight="false" outlineLevel="0" collapsed="false">
      <c r="A17" s="2" t="n">
        <v>16</v>
      </c>
      <c r="B17" s="2" t="s">
        <v>67</v>
      </c>
      <c r="C17" s="3" t="s">
        <v>63</v>
      </c>
      <c r="D17" s="3" t="s">
        <v>56</v>
      </c>
      <c r="E17" s="3" t="s">
        <v>68</v>
      </c>
      <c r="F17" s="4" t="s">
        <v>11</v>
      </c>
      <c r="G17" s="2"/>
    </row>
    <row r="18" customFormat="false" ht="26.85" hidden="false" customHeight="false" outlineLevel="0" collapsed="false">
      <c r="A18" s="2" t="n">
        <v>17</v>
      </c>
      <c r="B18" s="2" t="s">
        <v>69</v>
      </c>
      <c r="C18" s="3" t="s">
        <v>70</v>
      </c>
      <c r="D18" s="3" t="s">
        <v>71</v>
      </c>
      <c r="E18" s="3" t="s">
        <v>72</v>
      </c>
      <c r="F18" s="4" t="s">
        <v>11</v>
      </c>
      <c r="G18" s="2" t="s">
        <v>73</v>
      </c>
    </row>
    <row r="19" customFormat="false" ht="15" hidden="false" customHeight="false" outlineLevel="0" collapsed="false">
      <c r="A19" s="2" t="n">
        <v>18</v>
      </c>
      <c r="B19" s="2" t="s">
        <v>13</v>
      </c>
      <c r="C19" s="3" t="s">
        <v>14</v>
      </c>
      <c r="D19" s="3" t="s">
        <v>74</v>
      </c>
      <c r="E19" s="3" t="s">
        <v>75</v>
      </c>
      <c r="F19" s="4" t="s">
        <v>11</v>
      </c>
      <c r="G19" s="2" t="s">
        <v>76</v>
      </c>
    </row>
    <row r="20" customFormat="false" ht="15" hidden="false" customHeight="false" outlineLevel="0" collapsed="false">
      <c r="A20" s="2" t="n">
        <v>19</v>
      </c>
      <c r="B20" s="2" t="s">
        <v>77</v>
      </c>
      <c r="C20" s="3" t="s">
        <v>78</v>
      </c>
      <c r="D20" s="3" t="s">
        <v>79</v>
      </c>
      <c r="E20" s="3" t="s">
        <v>79</v>
      </c>
      <c r="F20" s="4" t="s">
        <v>11</v>
      </c>
      <c r="G20" s="2"/>
    </row>
    <row r="21" customFormat="false" ht="15" hidden="false" customHeight="false" outlineLevel="0" collapsed="false">
      <c r="A21" s="2" t="n">
        <v>20</v>
      </c>
      <c r="B21" s="2" t="s">
        <v>80</v>
      </c>
      <c r="C21" s="3" t="s">
        <v>81</v>
      </c>
      <c r="D21" s="3" t="s">
        <v>80</v>
      </c>
      <c r="E21" s="3" t="s">
        <v>80</v>
      </c>
      <c r="F21" s="4" t="s">
        <v>11</v>
      </c>
      <c r="G21" s="2" t="s">
        <v>82</v>
      </c>
    </row>
    <row r="22" customFormat="false" ht="15" hidden="false" customHeight="false" outlineLevel="0" collapsed="false">
      <c r="A22" s="2" t="n">
        <v>21</v>
      </c>
      <c r="B22" s="2" t="s">
        <v>83</v>
      </c>
      <c r="C22" s="3" t="s">
        <v>84</v>
      </c>
      <c r="D22" s="3" t="s">
        <v>85</v>
      </c>
      <c r="E22" s="3" t="s">
        <v>86</v>
      </c>
      <c r="F22" s="4" t="s">
        <v>11</v>
      </c>
      <c r="G22" s="2" t="s">
        <v>87</v>
      </c>
    </row>
    <row r="23" customFormat="false" ht="26.85" hidden="false" customHeight="false" outlineLevel="0" collapsed="false">
      <c r="A23" s="2" t="n">
        <v>22</v>
      </c>
      <c r="B23" s="2" t="s">
        <v>88</v>
      </c>
      <c r="C23" s="3" t="s">
        <v>89</v>
      </c>
      <c r="D23" s="3" t="s">
        <v>90</v>
      </c>
      <c r="E23" s="3" t="s">
        <v>91</v>
      </c>
      <c r="F23" s="4" t="s">
        <v>11</v>
      </c>
      <c r="G23" s="2" t="s">
        <v>92</v>
      </c>
    </row>
    <row r="24" customFormat="false" ht="26.85" hidden="false" customHeight="false" outlineLevel="0" collapsed="false">
      <c r="A24" s="2" t="n">
        <v>23</v>
      </c>
      <c r="B24" s="2" t="s">
        <v>93</v>
      </c>
      <c r="C24" s="3" t="s">
        <v>94</v>
      </c>
      <c r="D24" s="3" t="s">
        <v>95</v>
      </c>
      <c r="E24" s="3"/>
      <c r="F24" s="2"/>
      <c r="G24" s="2" t="s">
        <v>96</v>
      </c>
    </row>
    <row r="25" customFormat="false" ht="26.85" hidden="false" customHeight="false" outlineLevel="0" collapsed="false">
      <c r="A25" s="2" t="n">
        <v>24</v>
      </c>
      <c r="B25" s="2" t="s">
        <v>97</v>
      </c>
      <c r="C25" s="3" t="s">
        <v>98</v>
      </c>
      <c r="D25" s="3" t="s">
        <v>32</v>
      </c>
      <c r="E25" s="3"/>
      <c r="F25" s="2"/>
      <c r="G25" s="2" t="s">
        <v>96</v>
      </c>
    </row>
    <row r="27" customFormat="false" ht="15" hidden="false" customHeight="false" outlineLevel="0" collapsed="false">
      <c r="B27" s="5" t="s">
        <v>99</v>
      </c>
      <c r="C27" s="6" t="n">
        <f aca="false">COUNTA(A2:A25)</f>
        <v>24</v>
      </c>
    </row>
    <row r="28" customFormat="false" ht="15" hidden="false" customHeight="false" outlineLevel="0" collapsed="false">
      <c r="B28" s="5" t="s">
        <v>100</v>
      </c>
      <c r="C28" s="6" t="n">
        <f aca="false">COUNTIF(F2:F25,"Y")</f>
        <v>22</v>
      </c>
    </row>
    <row r="29" customFormat="false" ht="15" hidden="false" customHeight="false" outlineLevel="0" collapsed="false">
      <c r="B29" s="5" t="s">
        <v>101</v>
      </c>
      <c r="C29" s="6" t="n">
        <f aca="false">COUNTIF(F2:F25,"N")</f>
        <v>0</v>
      </c>
    </row>
    <row r="30" customFormat="false" ht="15" hidden="false" customHeight="false" outlineLevel="0" collapsed="false">
      <c r="B30" s="5" t="s">
        <v>102</v>
      </c>
      <c r="C30" s="6" t="n">
        <f aca="false">COUNTBLANK(F2:F25)</f>
        <v>2</v>
      </c>
    </row>
    <row r="32" customFormat="false" ht="15" hidden="false" customHeight="false" outlineLevel="0" collapsed="false">
      <c r="B32" s="7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2026-10-25T19:14:10Z</dcterms:created>
  <dc:creator>openpyxl</dc:creator>
  <dc:description/>
  <dc:language>en-US</dc:language>
  <cp:lastModifiedBy/>
  <dcterms:modified xsi:type="dcterms:W3CDTF">2026-10-25T19:14:10Z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